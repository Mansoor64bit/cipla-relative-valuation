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G3\Documents\GITHUB REPOS\TVS\"/>
    </mc:Choice>
  </mc:AlternateContent>
  <xr:revisionPtr revIDLastSave="0" documentId="13_ncr:1_{EA424145-2140-4285-9FB3-DC4FF002077A}" xr6:coauthVersionLast="47" xr6:coauthVersionMax="47" xr10:uidLastSave="{00000000-0000-0000-0000-000000000000}"/>
  <bookViews>
    <workbookView xWindow="-108" yWindow="-108" windowWidth="23256" windowHeight="12456" activeTab="1" xr2:uid="{6FD14115-326C-4BB7-9764-228D0F91C611}"/>
  </bookViews>
  <sheets>
    <sheet name="Relative Valuation" sheetId="2" r:id="rId1"/>
    <sheet name="Raw Data -screen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  <c r="D9" i="2"/>
  <c r="I9" i="2"/>
  <c r="J9" i="2"/>
  <c r="K9" i="2"/>
  <c r="C10" i="2"/>
  <c r="D10" i="2"/>
  <c r="I10" i="2"/>
  <c r="J10" i="2"/>
  <c r="K10" i="2"/>
  <c r="C7" i="2"/>
  <c r="D7" i="2"/>
  <c r="I7" i="2"/>
  <c r="J7" i="2"/>
  <c r="K7" i="2"/>
  <c r="C11" i="2"/>
  <c r="D11" i="2"/>
  <c r="I11" i="2"/>
  <c r="J11" i="2"/>
  <c r="K11" i="2"/>
  <c r="C12" i="2"/>
  <c r="D12" i="2"/>
  <c r="I12" i="2"/>
  <c r="J12" i="2"/>
  <c r="K12" i="2"/>
  <c r="C13" i="2"/>
  <c r="D13" i="2"/>
  <c r="I13" i="2"/>
  <c r="J13" i="2"/>
  <c r="K13" i="2"/>
  <c r="C14" i="2"/>
  <c r="D14" i="2"/>
  <c r="I14" i="2"/>
  <c r="J14" i="2"/>
  <c r="K14" i="2"/>
  <c r="C15" i="2"/>
  <c r="D15" i="2"/>
  <c r="I15" i="2"/>
  <c r="J15" i="2"/>
  <c r="K15" i="2"/>
  <c r="C16" i="2"/>
  <c r="D16" i="2"/>
  <c r="I16" i="2"/>
  <c r="J16" i="2"/>
  <c r="K16" i="2"/>
  <c r="J8" i="2"/>
  <c r="K8" i="2"/>
  <c r="I8" i="2"/>
  <c r="D8" i="2"/>
  <c r="C8" i="2"/>
  <c r="B9" i="2"/>
  <c r="B10" i="2"/>
  <c r="B7" i="2"/>
  <c r="B11" i="2"/>
  <c r="B12" i="2"/>
  <c r="B13" i="2"/>
  <c r="B14" i="2"/>
  <c r="B15" i="2"/>
  <c r="B16" i="2"/>
  <c r="B8" i="2"/>
  <c r="I31" i="3"/>
  <c r="F31" i="3"/>
  <c r="J31" i="3" s="1"/>
  <c r="I30" i="3"/>
  <c r="F30" i="3"/>
  <c r="J30" i="3" s="1"/>
  <c r="I29" i="3"/>
  <c r="F29" i="3"/>
  <c r="J29" i="3" s="1"/>
  <c r="I28" i="3"/>
  <c r="F28" i="3"/>
  <c r="J28" i="3" s="1"/>
  <c r="I27" i="3"/>
  <c r="F27" i="3"/>
  <c r="J27" i="3" s="1"/>
  <c r="I26" i="3"/>
  <c r="F26" i="3"/>
  <c r="J26" i="3" s="1"/>
  <c r="I25" i="3"/>
  <c r="F25" i="3"/>
  <c r="J25" i="3" s="1"/>
  <c r="I24" i="3"/>
  <c r="F24" i="3"/>
  <c r="J24" i="3" s="1"/>
  <c r="I23" i="3"/>
  <c r="F23" i="3"/>
  <c r="J23" i="3" s="1"/>
  <c r="I22" i="3"/>
  <c r="F22" i="3"/>
  <c r="J22" i="3" s="1"/>
  <c r="I21" i="3"/>
  <c r="F21" i="3"/>
  <c r="J21" i="3" s="1"/>
  <c r="I20" i="3"/>
  <c r="F20" i="3"/>
  <c r="J20" i="3" s="1"/>
  <c r="I19" i="3"/>
  <c r="F19" i="3"/>
  <c r="J19" i="3" s="1"/>
  <c r="I18" i="3"/>
  <c r="F18" i="3"/>
  <c r="J18" i="3" s="1"/>
  <c r="I17" i="3"/>
  <c r="F17" i="3"/>
  <c r="J17" i="3" s="1"/>
  <c r="I16" i="3"/>
  <c r="F16" i="3"/>
  <c r="J16" i="3" s="1"/>
  <c r="I15" i="3"/>
  <c r="F15" i="3"/>
  <c r="J15" i="3" s="1"/>
  <c r="I14" i="3"/>
  <c r="F14" i="3"/>
  <c r="J14" i="3" s="1"/>
  <c r="I13" i="3"/>
  <c r="F13" i="3"/>
  <c r="J13" i="3" s="1"/>
  <c r="I12" i="3"/>
  <c r="F12" i="3"/>
  <c r="J12" i="3" s="1"/>
  <c r="I11" i="3"/>
  <c r="F16" i="2" s="1"/>
  <c r="F11" i="3"/>
  <c r="I10" i="3"/>
  <c r="F15" i="2" s="1"/>
  <c r="F10" i="3"/>
  <c r="I9" i="3"/>
  <c r="F14" i="2" s="1"/>
  <c r="F9" i="3"/>
  <c r="I8" i="3"/>
  <c r="F13" i="2" s="1"/>
  <c r="F8" i="3"/>
  <c r="I7" i="3"/>
  <c r="F12" i="2" s="1"/>
  <c r="F7" i="3"/>
  <c r="I6" i="3"/>
  <c r="F11" i="2" s="1"/>
  <c r="F6" i="3"/>
  <c r="I5" i="3"/>
  <c r="F7" i="2" s="1"/>
  <c r="F5" i="3"/>
  <c r="I4" i="3"/>
  <c r="F10" i="2" s="1"/>
  <c r="F4" i="3"/>
  <c r="I3" i="3"/>
  <c r="F9" i="2" s="1"/>
  <c r="F3" i="3"/>
  <c r="I2" i="3"/>
  <c r="F8" i="2" s="1"/>
  <c r="F2" i="3"/>
  <c r="O30" i="2" l="1"/>
  <c r="N30" i="2"/>
  <c r="M30" i="2"/>
  <c r="J11" i="3"/>
  <c r="G16" i="2" s="1"/>
  <c r="E16" i="2"/>
  <c r="J10" i="3"/>
  <c r="G15" i="2" s="1"/>
  <c r="E15" i="2"/>
  <c r="O15" i="2" s="1"/>
  <c r="J9" i="3"/>
  <c r="G14" i="2" s="1"/>
  <c r="E14" i="2"/>
  <c r="J8" i="3"/>
  <c r="G13" i="2" s="1"/>
  <c r="N13" i="2" s="1"/>
  <c r="E13" i="2"/>
  <c r="O13" i="2" s="1"/>
  <c r="J7" i="3"/>
  <c r="G12" i="2" s="1"/>
  <c r="E12" i="2"/>
  <c r="O12" i="2" s="1"/>
  <c r="J6" i="3"/>
  <c r="G11" i="2" s="1"/>
  <c r="E11" i="2"/>
  <c r="O11" i="2" s="1"/>
  <c r="M28" i="2"/>
  <c r="O28" i="2"/>
  <c r="N28" i="2"/>
  <c r="J5" i="3"/>
  <c r="G7" i="2" s="1"/>
  <c r="E7" i="2"/>
  <c r="O7" i="2" s="1"/>
  <c r="J4" i="3"/>
  <c r="G10" i="2" s="1"/>
  <c r="M10" i="2" s="1"/>
  <c r="E10" i="2"/>
  <c r="O10" i="2" s="1"/>
  <c r="J3" i="3"/>
  <c r="G9" i="2" s="1"/>
  <c r="E9" i="2"/>
  <c r="O9" i="2" s="1"/>
  <c r="J2" i="3"/>
  <c r="G8" i="2" s="1"/>
  <c r="E8" i="2"/>
  <c r="M13" i="2"/>
  <c r="O14" i="2"/>
  <c r="O16" i="2"/>
  <c r="N10" i="2"/>
  <c r="M16" i="2"/>
  <c r="N16" i="2"/>
  <c r="N14" i="2"/>
  <c r="M14" i="2"/>
  <c r="O8" i="2"/>
  <c r="N15" i="2" l="1"/>
  <c r="M15" i="2"/>
  <c r="M12" i="2"/>
  <c r="N12" i="2"/>
  <c r="M11" i="2"/>
  <c r="N11" i="2"/>
  <c r="M7" i="2"/>
  <c r="N7" i="2"/>
  <c r="N9" i="2"/>
  <c r="M9" i="2"/>
  <c r="M8" i="2"/>
  <c r="N8" i="2"/>
  <c r="O23" i="2"/>
  <c r="O22" i="2"/>
  <c r="O19" i="2"/>
  <c r="O21" i="2"/>
  <c r="O29" i="2" s="1"/>
  <c r="O20" i="2"/>
  <c r="O18" i="2"/>
  <c r="M21" i="2"/>
  <c r="M27" i="2" s="1"/>
  <c r="M29" i="2" s="1"/>
  <c r="M20" i="2"/>
  <c r="M19" i="2"/>
  <c r="M23" i="2"/>
  <c r="M22" i="2"/>
  <c r="M18" i="2"/>
  <c r="N23" i="2"/>
  <c r="N22" i="2"/>
  <c r="N19" i="2"/>
  <c r="N21" i="2"/>
  <c r="N27" i="2" s="1"/>
  <c r="N29" i="2" s="1"/>
  <c r="N31" i="2" s="1"/>
  <c r="N32" i="2" s="1"/>
  <c r="O27" i="2" l="1"/>
  <c r="O31" i="2"/>
  <c r="M31" i="2"/>
  <c r="M32" i="2"/>
  <c r="N20" i="2"/>
  <c r="N18" i="2"/>
  <c r="O32" i="2" l="1"/>
</calcChain>
</file>

<file path=xl/sharedStrings.xml><?xml version="1.0" encoding="utf-8"?>
<sst xmlns="http://schemas.openxmlformats.org/spreadsheetml/2006/main" count="74" uniqueCount="69">
  <si>
    <t>Undervalued/Overvalued</t>
  </si>
  <si>
    <t>Implies Value per Share</t>
  </si>
  <si>
    <t xml:space="preserve">Shares Outstanding </t>
  </si>
  <si>
    <t xml:space="preserve">Implied Market Value </t>
  </si>
  <si>
    <t>Net Debt</t>
  </si>
  <si>
    <t xml:space="preserve">Implied Enterprise Value </t>
  </si>
  <si>
    <t>P/E</t>
  </si>
  <si>
    <t>EV/EBITDA</t>
  </si>
  <si>
    <t>EV/Revenue</t>
  </si>
  <si>
    <t>Cipla Comparable Valuation</t>
  </si>
  <si>
    <t>Low</t>
  </si>
  <si>
    <t>25th Percentile</t>
  </si>
  <si>
    <t>Median</t>
  </si>
  <si>
    <t>Average</t>
  </si>
  <si>
    <t>75th Percentile</t>
  </si>
  <si>
    <t xml:space="preserve">High </t>
  </si>
  <si>
    <t xml:space="preserve">EV/Revenue </t>
  </si>
  <si>
    <t>Net Income</t>
  </si>
  <si>
    <t>EBITDA</t>
  </si>
  <si>
    <t xml:space="preserve">Revenue </t>
  </si>
  <si>
    <t>Enterprise Value</t>
  </si>
  <si>
    <t>Equity Value</t>
  </si>
  <si>
    <t>Shares O/s</t>
  </si>
  <si>
    <t>Share Price</t>
  </si>
  <si>
    <t xml:space="preserve">Company </t>
  </si>
  <si>
    <t>Valuation</t>
  </si>
  <si>
    <t>Financials</t>
  </si>
  <si>
    <t>Market Data</t>
  </si>
  <si>
    <t>S.No.</t>
  </si>
  <si>
    <t>Name</t>
  </si>
  <si>
    <t>CMP Rs.</t>
  </si>
  <si>
    <t>No. Eq. Shares Cr.</t>
  </si>
  <si>
    <t>Market Cap</t>
  </si>
  <si>
    <t>Debt Rs.Cr.</t>
  </si>
  <si>
    <t>Cash End Rs.Cr.</t>
  </si>
  <si>
    <t>EV</t>
  </si>
  <si>
    <t>Sales Rs.Cr.</t>
  </si>
  <si>
    <t>NP 12M Rs.Cr.</t>
  </si>
  <si>
    <t>Sun Pharma.Inds.</t>
  </si>
  <si>
    <t>Dr Reddy's Labs</t>
  </si>
  <si>
    <t>Divi's Lab.</t>
  </si>
  <si>
    <t>Cipla</t>
  </si>
  <si>
    <t>Torrent Pharma.</t>
  </si>
  <si>
    <t>Zydus Lifesci.</t>
  </si>
  <si>
    <t>Alkem Lab</t>
  </si>
  <si>
    <t>Lupin</t>
  </si>
  <si>
    <t>Aurobindo Pharma</t>
  </si>
  <si>
    <t>Mankind Pharma</t>
  </si>
  <si>
    <t>Biocon</t>
  </si>
  <si>
    <t>Laurus Labs</t>
  </si>
  <si>
    <t>Ipca Labs.</t>
  </si>
  <si>
    <t>Glenmark Pharma.</t>
  </si>
  <si>
    <t>Abbott India</t>
  </si>
  <si>
    <t>Glaxosmi. Pharma</t>
  </si>
  <si>
    <t>Piramal Pharma</t>
  </si>
  <si>
    <t>Anthem Bioscienc</t>
  </si>
  <si>
    <t>Gland Pharma</t>
  </si>
  <si>
    <t>Ajanta Pharma</t>
  </si>
  <si>
    <t>Emcure Pharma</t>
  </si>
  <si>
    <t>Sai Life</t>
  </si>
  <si>
    <t>Wockhardt</t>
  </si>
  <si>
    <t>Neuland Labs.</t>
  </si>
  <si>
    <t>Rubicon Research</t>
  </si>
  <si>
    <t>Acutaas Chemical</t>
  </si>
  <si>
    <t>Pfizer</t>
  </si>
  <si>
    <t>Granules India</t>
  </si>
  <si>
    <t>Caplin Point Lab</t>
  </si>
  <si>
    <t>Astrazeneca Phar</t>
  </si>
  <si>
    <t xml:space="preserve"> Comparable Company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</si>
</sst>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;\(#,##0.0\);\-"/>
    <numFmt numFmtId="165" formatCode="0.0\x"/>
  </numFmts>
  <fonts count="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b/>
      <sz val="11"/>
      <color theme="2"/>
      <name val="Calibri"/>
      <family val="2"/>
    </font>
    <font>
      <sz val="11"/>
      <color rgb="FF00B050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thin">
        <color theme="0"/>
      </bottom>
      <diagonal/>
    </border>
    <border>
      <left/>
      <right/>
      <top style="dashed">
        <color theme="3" tint="0.24994659260841701"/>
      </top>
      <bottom style="dashed">
        <color theme="3" tint="0.2499465926084170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5" fillId="0" borderId="0" xfId="0" applyFont="1"/>
    <xf numFmtId="164" fontId="0" fillId="0" borderId="0" xfId="0" applyNumberFormat="1"/>
    <xf numFmtId="0" fontId="6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wrapText="1"/>
    </xf>
    <xf numFmtId="2" fontId="0" fillId="0" borderId="0" xfId="0" applyNumberFormat="1"/>
    <xf numFmtId="10" fontId="0" fillId="0" borderId="0" xfId="2" applyNumberFormat="1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2" borderId="0" xfId="0" applyFont="1" applyFill="1"/>
    <xf numFmtId="0" fontId="0" fillId="0" borderId="3" xfId="0" applyBorder="1"/>
    <xf numFmtId="165" fontId="0" fillId="0" borderId="3" xfId="0" applyNumberFormat="1" applyBorder="1"/>
    <xf numFmtId="0" fontId="3" fillId="2" borderId="3" xfId="0" applyFont="1" applyFill="1" applyBorder="1"/>
    <xf numFmtId="165" fontId="3" fillId="2" borderId="3" xfId="0" applyNumberFormat="1" applyFont="1" applyFill="1" applyBorder="1"/>
    <xf numFmtId="0" fontId="6" fillId="3" borderId="0" xfId="0" applyFont="1" applyFill="1"/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right" wrapText="1"/>
    </xf>
    <xf numFmtId="0" fontId="6" fillId="3" borderId="0" xfId="0" applyFont="1" applyFill="1" applyAlignment="1">
      <alignment horizontal="right"/>
    </xf>
    <xf numFmtId="0" fontId="3" fillId="0" borderId="4" xfId="0" applyFont="1" applyBorder="1"/>
    <xf numFmtId="164" fontId="3" fillId="0" borderId="4" xfId="0" applyNumberFormat="1" applyFont="1" applyBorder="1"/>
    <xf numFmtId="0" fontId="2" fillId="3" borderId="0" xfId="0" applyFont="1" applyFill="1"/>
    <xf numFmtId="43" fontId="0" fillId="0" borderId="0" xfId="1" applyFont="1" applyFill="1"/>
    <xf numFmtId="164" fontId="7" fillId="0" borderId="3" xfId="0" applyNumberFormat="1" applyFont="1" applyBorder="1"/>
    <xf numFmtId="0" fontId="2" fillId="4" borderId="1" xfId="0" applyFont="1" applyFill="1" applyBorder="1"/>
    <xf numFmtId="0" fontId="4" fillId="4" borderId="0" xfId="0" applyFont="1" applyFill="1"/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2" borderId="3" xfId="0" applyFill="1" applyBorder="1"/>
    <xf numFmtId="164" fontId="7" fillId="2" borderId="3" xfId="0" applyNumberFormat="1" applyFont="1" applyFill="1" applyBorder="1"/>
    <xf numFmtId="165" fontId="0" fillId="2" borderId="3" xfId="0" applyNumberForma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CA81-E3E2-477F-920D-0328A7C38BAB}">
  <dimension ref="B1:O32"/>
  <sheetViews>
    <sheetView showGridLines="0" showWhiteSpace="0" topLeftCell="A5" zoomScale="130" zoomScaleNormal="130" workbookViewId="0">
      <selection activeCell="Q22" sqref="Q22"/>
    </sheetView>
  </sheetViews>
  <sheetFormatPr defaultRowHeight="14.4" x14ac:dyDescent="0.3"/>
  <cols>
    <col min="1" max="1" width="1.44140625" bestFit="1" customWidth="1"/>
    <col min="2" max="2" width="24.6640625" bestFit="1" customWidth="1"/>
    <col min="3" max="3" width="7" bestFit="1" customWidth="1"/>
    <col min="4" max="4" width="5.77734375" bestFit="1" customWidth="1"/>
    <col min="5" max="5" width="9.44140625" bestFit="1" customWidth="1"/>
    <col min="6" max="6" width="8.109375" bestFit="1" customWidth="1"/>
    <col min="7" max="7" width="9.44140625" bestFit="1" customWidth="1"/>
    <col min="8" max="8" width="1.88671875" customWidth="1"/>
    <col min="9" max="9" width="8.77734375" bestFit="1" customWidth="1"/>
    <col min="10" max="11" width="8" bestFit="1" customWidth="1"/>
    <col min="12" max="12" width="1.88671875" customWidth="1"/>
    <col min="13" max="13" width="12" bestFit="1" customWidth="1"/>
    <col min="14" max="15" width="10.88671875" bestFit="1" customWidth="1"/>
  </cols>
  <sheetData>
    <row r="1" spans="2:15" x14ac:dyDescent="0.3">
      <c r="B1" s="1"/>
    </row>
    <row r="2" spans="2:15" ht="15.6" x14ac:dyDescent="0.3">
      <c r="B2" s="31" t="s">
        <v>68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4" spans="2:15" x14ac:dyDescent="0.3">
      <c r="B4" s="23"/>
      <c r="C4" s="30" t="s">
        <v>27</v>
      </c>
      <c r="D4" s="30"/>
      <c r="E4" s="30"/>
      <c r="F4" s="30"/>
      <c r="G4" s="30"/>
      <c r="H4" s="23"/>
      <c r="I4" s="30" t="s">
        <v>26</v>
      </c>
      <c r="J4" s="30"/>
      <c r="K4" s="30"/>
      <c r="L4" s="23"/>
      <c r="M4" s="30" t="s">
        <v>25</v>
      </c>
      <c r="N4" s="30"/>
      <c r="O4" s="30"/>
    </row>
    <row r="5" spans="2:15" ht="28.8" x14ac:dyDescent="0.3">
      <c r="B5" s="17" t="s">
        <v>24</v>
      </c>
      <c r="C5" s="18" t="s">
        <v>23</v>
      </c>
      <c r="D5" s="18" t="s">
        <v>22</v>
      </c>
      <c r="E5" s="18" t="s">
        <v>21</v>
      </c>
      <c r="F5" s="18" t="s">
        <v>4</v>
      </c>
      <c r="G5" s="18" t="s">
        <v>20</v>
      </c>
      <c r="H5" s="17"/>
      <c r="I5" s="17" t="s">
        <v>19</v>
      </c>
      <c r="J5" s="18" t="s">
        <v>18</v>
      </c>
      <c r="K5" s="18" t="s">
        <v>17</v>
      </c>
      <c r="L5" s="17"/>
      <c r="M5" s="19" t="s">
        <v>16</v>
      </c>
      <c r="N5" s="19" t="s">
        <v>7</v>
      </c>
      <c r="O5" s="20" t="s">
        <v>6</v>
      </c>
    </row>
    <row r="6" spans="2:15" x14ac:dyDescent="0.3">
      <c r="B6" s="4"/>
      <c r="C6" s="5"/>
      <c r="D6" s="5"/>
      <c r="E6" s="5"/>
      <c r="F6" s="5"/>
      <c r="G6" s="5"/>
      <c r="H6" s="4"/>
      <c r="I6" s="5"/>
      <c r="J6" s="5"/>
      <c r="K6" s="5"/>
      <c r="L6" s="4"/>
      <c r="M6" s="3"/>
      <c r="N6" s="3"/>
      <c r="O6" s="3"/>
    </row>
    <row r="7" spans="2:15" x14ac:dyDescent="0.3">
      <c r="B7" s="32" t="str">
        <f>'Raw Data -screener'!C5</f>
        <v>Cipla</v>
      </c>
      <c r="C7" s="33">
        <f>'Raw Data -screener'!D5</f>
        <v>1432.2</v>
      </c>
      <c r="D7" s="33">
        <f>'Raw Data -screener'!E5</f>
        <v>80.790000000000006</v>
      </c>
      <c r="E7" s="33">
        <f>'Raw Data -screener'!F5</f>
        <v>115707.43800000001</v>
      </c>
      <c r="F7" s="33">
        <f>'Raw Data -screener'!I5</f>
        <v>-693.65000000000009</v>
      </c>
      <c r="G7" s="33">
        <f>'Raw Data -screener'!J5</f>
        <v>115013.78800000002</v>
      </c>
      <c r="H7" s="33"/>
      <c r="I7" s="33">
        <f>'Raw Data -screener'!K5</f>
        <v>28324.400000000001</v>
      </c>
      <c r="J7" s="33">
        <f>'Raw Data -screener'!L5</f>
        <v>5296.6628000000001</v>
      </c>
      <c r="K7" s="33">
        <f>'Raw Data -screener'!M5</f>
        <v>3355.68</v>
      </c>
      <c r="L7" s="32"/>
      <c r="M7" s="34">
        <f>G7/I7</f>
        <v>4.0605904449873611</v>
      </c>
      <c r="N7" s="34">
        <f>G7/J7</f>
        <v>21.714387406349527</v>
      </c>
      <c r="O7" s="34">
        <f>E7/K7</f>
        <v>34.481070304677445</v>
      </c>
    </row>
    <row r="8" spans="2:15" x14ac:dyDescent="0.3">
      <c r="B8" s="13" t="str">
        <f>'Raw Data -screener'!C2</f>
        <v>Sun Pharma.Inds.</v>
      </c>
      <c r="C8" s="25">
        <f>'Raw Data -screener'!D2</f>
        <v>1902.4</v>
      </c>
      <c r="D8" s="25">
        <f>'Raw Data -screener'!E2</f>
        <v>239.93</v>
      </c>
      <c r="E8" s="25">
        <f>'Raw Data -screener'!F2</f>
        <v>456442.83200000005</v>
      </c>
      <c r="F8" s="25">
        <f>'Raw Data -screener'!I2</f>
        <v>-6975.76</v>
      </c>
      <c r="G8" s="25">
        <f>'Raw Data -screener'!J2</f>
        <v>449467.07200000004</v>
      </c>
      <c r="H8" s="25"/>
      <c r="I8" s="25">
        <f>'Raw Data -screener'!K2</f>
        <v>59910.52</v>
      </c>
      <c r="J8" s="25">
        <f>'Raw Data -screener'!L2</f>
        <v>17847.343907999999</v>
      </c>
      <c r="K8" s="25">
        <f>'Raw Data -screener'!M2</f>
        <v>12117.01</v>
      </c>
      <c r="L8" s="13"/>
      <c r="M8" s="14">
        <f>G8/I8</f>
        <v>7.5023063061378883</v>
      </c>
      <c r="N8" s="14">
        <f>G8/J8</f>
        <v>25.183975515736449</v>
      </c>
      <c r="O8" s="14">
        <f>E8/K8</f>
        <v>37.669592746065248</v>
      </c>
    </row>
    <row r="9" spans="2:15" x14ac:dyDescent="0.3">
      <c r="B9" s="13" t="str">
        <f>'Raw Data -screener'!C3</f>
        <v>Divi's Lab.</v>
      </c>
      <c r="C9" s="25">
        <f>'Raw Data -screener'!D3</f>
        <v>8597</v>
      </c>
      <c r="D9" s="25">
        <f>'Raw Data -screener'!E3</f>
        <v>26.55</v>
      </c>
      <c r="E9" s="25">
        <f>'Raw Data -screener'!F3</f>
        <v>228250.35</v>
      </c>
      <c r="F9" s="25">
        <f>'Raw Data -screener'!I3</f>
        <v>-3407</v>
      </c>
      <c r="G9" s="25">
        <f>'Raw Data -screener'!J3</f>
        <v>224843.35</v>
      </c>
      <c r="H9" s="25"/>
      <c r="I9" s="25">
        <f>'Raw Data -screener'!K3</f>
        <v>11230</v>
      </c>
      <c r="J9" s="25">
        <f>'Raw Data -screener'!L3</f>
        <v>3967.5590000000002</v>
      </c>
      <c r="K9" s="25">
        <f>'Raw Data -screener'!M3</f>
        <v>2925</v>
      </c>
      <c r="L9" s="13"/>
      <c r="M9" s="14">
        <f t="shared" ref="M9:M16" si="0">G9/I9</f>
        <v>20.021669634906502</v>
      </c>
      <c r="N9" s="14">
        <f t="shared" ref="N9:N16" si="1">G9/J9</f>
        <v>56.670449009075853</v>
      </c>
      <c r="O9" s="14">
        <f t="shared" ref="O9:O16" si="2">E9/K9</f>
        <v>78.034307692307692</v>
      </c>
    </row>
    <row r="10" spans="2:15" x14ac:dyDescent="0.3">
      <c r="B10" s="13" t="str">
        <f>'Raw Data -screener'!C4</f>
        <v>Torrent Pharma.</v>
      </c>
      <c r="C10" s="25">
        <f>'Raw Data -screener'!D4</f>
        <v>4896.5</v>
      </c>
      <c r="D10" s="25">
        <f>'Raw Data -screener'!E4</f>
        <v>38.04</v>
      </c>
      <c r="E10" s="25">
        <f>'Raw Data -screener'!F4</f>
        <v>186262.86</v>
      </c>
      <c r="F10" s="25">
        <f>'Raw Data -screener'!I4</f>
        <v>13860.3</v>
      </c>
      <c r="G10" s="25">
        <f>'Raw Data -screener'!J4</f>
        <v>200123.15999999997</v>
      </c>
      <c r="H10" s="25"/>
      <c r="I10" s="25">
        <f>'Raw Data -screener'!K4</f>
        <v>15723</v>
      </c>
      <c r="J10" s="25">
        <f>'Raw Data -screener'!L4</f>
        <v>5191.7346000000007</v>
      </c>
      <c r="K10" s="25">
        <f>'Raw Data -screener'!M4</f>
        <v>2156</v>
      </c>
      <c r="L10" s="13"/>
      <c r="M10" s="14">
        <f t="shared" si="0"/>
        <v>12.728051898492652</v>
      </c>
      <c r="N10" s="14">
        <f t="shared" si="1"/>
        <v>38.546492727112813</v>
      </c>
      <c r="O10" s="14">
        <f t="shared" si="2"/>
        <v>86.392792207792198</v>
      </c>
    </row>
    <row r="11" spans="2:15" x14ac:dyDescent="0.3">
      <c r="B11" s="13" t="str">
        <f>'Raw Data -screener'!C6</f>
        <v>Zydus Lifesci.</v>
      </c>
      <c r="C11" s="25">
        <f>'Raw Data -screener'!D6</f>
        <v>1120</v>
      </c>
      <c r="D11" s="25">
        <f>'Raw Data -screener'!E6</f>
        <v>99.75</v>
      </c>
      <c r="E11" s="25">
        <f>'Raw Data -screener'!F6</f>
        <v>111720</v>
      </c>
      <c r="F11" s="25">
        <f>'Raw Data -screener'!I6</f>
        <v>11079.4</v>
      </c>
      <c r="G11" s="25">
        <f>'Raw Data -screener'!J6</f>
        <v>122799.4</v>
      </c>
      <c r="H11" s="25"/>
      <c r="I11" s="25">
        <f>'Raw Data -screener'!K6</f>
        <v>28591.7</v>
      </c>
      <c r="J11" s="25">
        <f>'Raw Data -screener'!L6</f>
        <v>8317.3255300000001</v>
      </c>
      <c r="K11" s="25">
        <f>'Raw Data -screener'!M6</f>
        <v>4592.7</v>
      </c>
      <c r="L11" s="13"/>
      <c r="M11" s="14">
        <f t="shared" si="0"/>
        <v>4.2949317459262648</v>
      </c>
      <c r="N11" s="14">
        <f t="shared" si="1"/>
        <v>14.764289260660933</v>
      </c>
      <c r="O11" s="14">
        <f t="shared" si="2"/>
        <v>24.325560128029263</v>
      </c>
    </row>
    <row r="12" spans="2:15" x14ac:dyDescent="0.3">
      <c r="B12" s="13" t="str">
        <f>'Raw Data -screener'!C7</f>
        <v>Lupin</v>
      </c>
      <c r="C12" s="25">
        <f>'Raw Data -screener'!D7</f>
        <v>2201.8000000000002</v>
      </c>
      <c r="D12" s="25">
        <f>'Raw Data -screener'!E7</f>
        <v>45.72</v>
      </c>
      <c r="E12" s="25">
        <f>'Raw Data -screener'!F7</f>
        <v>100666.296</v>
      </c>
      <c r="F12" s="25">
        <f>'Raw Data -screener'!I7</f>
        <v>963.28000000000065</v>
      </c>
      <c r="G12" s="25">
        <f>'Raw Data -screener'!J7</f>
        <v>101629.576</v>
      </c>
      <c r="H12" s="25"/>
      <c r="I12" s="25">
        <f>'Raw Data -screener'!K7</f>
        <v>29966.58</v>
      </c>
      <c r="J12" s="25">
        <f>'Raw Data -screener'!L7</f>
        <v>9538.3624139999993</v>
      </c>
      <c r="K12" s="25">
        <f>'Raw Data -screener'!M7</f>
        <v>5550.99</v>
      </c>
      <c r="L12" s="13"/>
      <c r="M12" s="14">
        <f t="shared" si="0"/>
        <v>3.3914305870072594</v>
      </c>
      <c r="N12" s="14">
        <f t="shared" si="1"/>
        <v>10.654824338697015</v>
      </c>
      <c r="O12" s="14">
        <f t="shared" si="2"/>
        <v>18.134836488626355</v>
      </c>
    </row>
    <row r="13" spans="2:15" x14ac:dyDescent="0.3">
      <c r="B13" s="13" t="str">
        <f>'Raw Data -screener'!C8</f>
        <v>Mankind Pharma</v>
      </c>
      <c r="C13" s="25">
        <f>'Raw Data -screener'!D8</f>
        <v>2384</v>
      </c>
      <c r="D13" s="25">
        <f>'Raw Data -screener'!E8</f>
        <v>41.3</v>
      </c>
      <c r="E13" s="25">
        <f>'Raw Data -screener'!F8</f>
        <v>98459.199999999997</v>
      </c>
      <c r="F13" s="25">
        <f>'Raw Data -screener'!I8</f>
        <v>5828.77</v>
      </c>
      <c r="G13" s="25">
        <f>'Raw Data -screener'!J8</f>
        <v>104287.96999999999</v>
      </c>
      <c r="H13" s="25"/>
      <c r="I13" s="25">
        <f>'Raw Data -screener'!K8</f>
        <v>14737.88</v>
      </c>
      <c r="J13" s="25">
        <f>'Raw Data -screener'!L8</f>
        <v>3827.4274359999995</v>
      </c>
      <c r="K13" s="25">
        <f>'Raw Data -screener'!M8</f>
        <v>2067.5700000000002</v>
      </c>
      <c r="L13" s="13"/>
      <c r="M13" s="14">
        <f t="shared" si="0"/>
        <v>7.0761853129486729</v>
      </c>
      <c r="N13" s="14">
        <f t="shared" si="1"/>
        <v>27.247536823059967</v>
      </c>
      <c r="O13" s="14">
        <f t="shared" si="2"/>
        <v>47.620733518091278</v>
      </c>
    </row>
    <row r="14" spans="2:15" x14ac:dyDescent="0.3">
      <c r="B14" s="13" t="str">
        <f>'Raw Data -screener'!C9</f>
        <v>Dr Reddy's Labs</v>
      </c>
      <c r="C14" s="25">
        <f>'Raw Data -screener'!D9</f>
        <v>1174.7</v>
      </c>
      <c r="D14" s="25">
        <f>'Raw Data -screener'!E9</f>
        <v>83.47</v>
      </c>
      <c r="E14" s="25">
        <f>'Raw Data -screener'!F9</f>
        <v>98052.209000000003</v>
      </c>
      <c r="F14" s="25">
        <f>'Raw Data -screener'!I9</f>
        <v>4385.4000000000005</v>
      </c>
      <c r="G14" s="25">
        <f>'Raw Data -screener'!J9</f>
        <v>102437.60900000001</v>
      </c>
      <c r="H14" s="25"/>
      <c r="I14" s="25">
        <f>'Raw Data -screener'!K9</f>
        <v>33227.9</v>
      </c>
      <c r="J14" s="25">
        <f>'Raw Data -screener'!L9</f>
        <v>5140.3561300000001</v>
      </c>
      <c r="K14" s="25">
        <f>'Raw Data -screener'!M9</f>
        <v>3183.3</v>
      </c>
      <c r="L14" s="13"/>
      <c r="M14" s="14">
        <f t="shared" si="0"/>
        <v>3.0828794175978622</v>
      </c>
      <c r="N14" s="14">
        <f t="shared" si="1"/>
        <v>19.928115175163946</v>
      </c>
      <c r="O14" s="14">
        <f t="shared" si="2"/>
        <v>30.80206358181761</v>
      </c>
    </row>
    <row r="15" spans="2:15" x14ac:dyDescent="0.3">
      <c r="B15" s="13" t="str">
        <f>'Raw Data -screener'!C10</f>
        <v>Laurus Labs</v>
      </c>
      <c r="C15" s="25">
        <f>'Raw Data -screener'!D10</f>
        <v>1802</v>
      </c>
      <c r="D15" s="25">
        <f>'Raw Data -screener'!E10</f>
        <v>54.03</v>
      </c>
      <c r="E15" s="25">
        <f>'Raw Data -screener'!F10</f>
        <v>97362.06</v>
      </c>
      <c r="F15" s="25">
        <f>'Raw Data -screener'!I10</f>
        <v>2404.7800000000002</v>
      </c>
      <c r="G15" s="25">
        <f>'Raw Data -screener'!J10</f>
        <v>99766.84</v>
      </c>
      <c r="H15" s="25"/>
      <c r="I15" s="25">
        <f>'Raw Data -screener'!K10</f>
        <v>7269.64</v>
      </c>
      <c r="J15" s="25">
        <f>'Raw Data -screener'!L10</f>
        <v>2034.0452720000001</v>
      </c>
      <c r="K15" s="25">
        <f>'Raw Data -screener'!M10</f>
        <v>1090.53</v>
      </c>
      <c r="L15" s="13"/>
      <c r="M15" s="14">
        <f t="shared" si="0"/>
        <v>13.723766238768356</v>
      </c>
      <c r="N15" s="14">
        <f t="shared" si="1"/>
        <v>49.048485485233584</v>
      </c>
      <c r="O15" s="14">
        <f t="shared" si="2"/>
        <v>89.279579653929744</v>
      </c>
    </row>
    <row r="16" spans="2:15" x14ac:dyDescent="0.3">
      <c r="B16" s="13" t="str">
        <f>'Raw Data -screener'!C11</f>
        <v>Aurobindo Pharma</v>
      </c>
      <c r="C16" s="25">
        <f>'Raw Data -screener'!D11</f>
        <v>1621.3</v>
      </c>
      <c r="D16" s="25">
        <f>'Raw Data -screener'!E11</f>
        <v>58.08</v>
      </c>
      <c r="E16" s="25">
        <f>'Raw Data -screener'!F11</f>
        <v>94165.103999999992</v>
      </c>
      <c r="F16" s="25">
        <f>'Raw Data -screener'!I11</f>
        <v>-1797.4500000000007</v>
      </c>
      <c r="G16" s="25">
        <f>'Raw Data -screener'!J11</f>
        <v>92367.65399999998</v>
      </c>
      <c r="H16" s="25"/>
      <c r="I16" s="25">
        <f>'Raw Data -screener'!K11</f>
        <v>34935.29</v>
      </c>
      <c r="J16" s="25">
        <f>'Raw Data -screener'!L11</f>
        <v>7081.3832830000001</v>
      </c>
      <c r="K16" s="25">
        <f>'Raw Data -screener'!M11</f>
        <v>3710.8</v>
      </c>
      <c r="L16" s="13"/>
      <c r="M16" s="14">
        <f t="shared" si="0"/>
        <v>2.6439641405581571</v>
      </c>
      <c r="N16" s="14">
        <f t="shared" si="1"/>
        <v>13.043730343158151</v>
      </c>
      <c r="O16" s="14">
        <f t="shared" si="2"/>
        <v>25.375957744960651</v>
      </c>
    </row>
    <row r="18" spans="2:15" x14ac:dyDescent="0.3">
      <c r="B18" s="13" t="s">
        <v>15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>
        <f>MAX(M8:M16)</f>
        <v>20.021669634906502</v>
      </c>
      <c r="N18" s="14">
        <f>MAX(N8:N16)</f>
        <v>56.670449009075853</v>
      </c>
      <c r="O18" s="14">
        <f>MAX(O8:O16)</f>
        <v>89.279579653929744</v>
      </c>
    </row>
    <row r="19" spans="2:15" x14ac:dyDescent="0.3">
      <c r="B19" s="13" t="s">
        <v>14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4">
        <f>QUARTILE(M8:M16,3)</f>
        <v>12.728051898492652</v>
      </c>
      <c r="N19" s="14">
        <f>QUARTILE(N8:N16,3)</f>
        <v>38.546492727112813</v>
      </c>
      <c r="O19" s="14">
        <f>QUARTILE(O8:O16,3)</f>
        <v>78.034307692307692</v>
      </c>
    </row>
    <row r="20" spans="2:15" x14ac:dyDescent="0.3">
      <c r="B20" s="15" t="s">
        <v>13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>
        <f>AVERAGE(M8:M16)</f>
        <v>8.273909475815957</v>
      </c>
      <c r="N20" s="16">
        <f>AVERAGE(N8:N16)</f>
        <v>28.343099853099858</v>
      </c>
      <c r="O20" s="16">
        <f>AVERAGE(O8:O16)</f>
        <v>48.626158195735563</v>
      </c>
    </row>
    <row r="21" spans="2:15" x14ac:dyDescent="0.3">
      <c r="B21" s="15" t="s">
        <v>12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6">
        <f>MEDIAN(M8:M16)</f>
        <v>7.0761853129486729</v>
      </c>
      <c r="N21" s="16">
        <f>MEDIAN(N8:N16)</f>
        <v>25.183975515736449</v>
      </c>
      <c r="O21" s="16">
        <f>MEDIAN(O8:O16)</f>
        <v>37.669592746065248</v>
      </c>
    </row>
    <row r="22" spans="2:15" x14ac:dyDescent="0.3">
      <c r="B22" s="13" t="s">
        <v>11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4">
        <f>QUARTILE(M8:M16,1)</f>
        <v>3.3914305870072594</v>
      </c>
      <c r="N22" s="14">
        <f>QUARTILE(N8:N16,1)</f>
        <v>14.764289260660933</v>
      </c>
      <c r="O22" s="14">
        <f>QUARTILE(O8:O16,1)</f>
        <v>25.375957744960651</v>
      </c>
    </row>
    <row r="23" spans="2:15" x14ac:dyDescent="0.3">
      <c r="B23" s="13" t="s">
        <v>10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4">
        <f>MIN(M8:M16)</f>
        <v>2.6439641405581571</v>
      </c>
      <c r="N23" s="14">
        <f>MIN(N8:N16)</f>
        <v>10.654824338697015</v>
      </c>
      <c r="O23" s="14">
        <f>MIN(O8:O16)</f>
        <v>18.134836488626355</v>
      </c>
    </row>
    <row r="25" spans="2:15" x14ac:dyDescent="0.3">
      <c r="B25" s="26" t="s">
        <v>9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8" t="s">
        <v>8</v>
      </c>
      <c r="N25" s="29" t="s">
        <v>7</v>
      </c>
      <c r="O25" s="28" t="s">
        <v>6</v>
      </c>
    </row>
    <row r="26" spans="2:15" x14ac:dyDescent="0.3"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10"/>
      <c r="N26" s="11"/>
      <c r="O26" s="10"/>
    </row>
    <row r="27" spans="2:15" x14ac:dyDescent="0.3">
      <c r="B27" t="s">
        <v>5</v>
      </c>
      <c r="M27" s="2">
        <f>M21*I7</f>
        <v>200428.70327808341</v>
      </c>
      <c r="N27" s="2">
        <f>N21*J7</f>
        <v>133391.02627031205</v>
      </c>
      <c r="O27" s="2">
        <f>O29+O28</f>
        <v>125713.44898611623</v>
      </c>
    </row>
    <row r="28" spans="2:15" x14ac:dyDescent="0.3">
      <c r="B28" t="s">
        <v>4</v>
      </c>
      <c r="M28" s="2">
        <f>$F$7</f>
        <v>-693.65000000000009</v>
      </c>
      <c r="N28" s="2">
        <f t="shared" ref="N28:O28" si="3">$F$7</f>
        <v>-693.65000000000009</v>
      </c>
      <c r="O28" s="2">
        <f t="shared" si="3"/>
        <v>-693.65000000000009</v>
      </c>
    </row>
    <row r="29" spans="2:15" x14ac:dyDescent="0.3">
      <c r="B29" t="s">
        <v>3</v>
      </c>
      <c r="M29" s="2">
        <f>M27-M28</f>
        <v>201122.35327808341</v>
      </c>
      <c r="N29" s="2">
        <f>N27-N28</f>
        <v>134084.67627031205</v>
      </c>
      <c r="O29" s="2">
        <f>O21*K7</f>
        <v>126407.09898611622</v>
      </c>
    </row>
    <row r="30" spans="2:15" ht="15" thickBot="1" x14ac:dyDescent="0.35">
      <c r="B30" t="s">
        <v>2</v>
      </c>
      <c r="M30" s="2">
        <f>$D$7</f>
        <v>80.790000000000006</v>
      </c>
      <c r="N30" s="2">
        <f t="shared" ref="N30:O30" si="4">$D$7</f>
        <v>80.790000000000006</v>
      </c>
      <c r="O30" s="2">
        <f t="shared" si="4"/>
        <v>80.790000000000006</v>
      </c>
    </row>
    <row r="31" spans="2:15" ht="15.6" thickTop="1" thickBot="1" x14ac:dyDescent="0.35">
      <c r="B31" s="21" t="s">
        <v>1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2">
        <f>M29/M30</f>
        <v>2489.4461353890752</v>
      </c>
      <c r="N31" s="22">
        <f t="shared" ref="N31:O31" si="5">N29/N30</f>
        <v>1659.6692198330491</v>
      </c>
      <c r="O31" s="22">
        <f t="shared" si="5"/>
        <v>1564.6379376917466</v>
      </c>
    </row>
    <row r="32" spans="2:15" ht="15" thickTop="1" x14ac:dyDescent="0.3">
      <c r="B32" s="12" t="s">
        <v>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 t="str">
        <f>IF(M31&gt;$C$8,"Undervalued","Overvalued")</f>
        <v>Undervalued</v>
      </c>
      <c r="N32" s="12" t="str">
        <f>IF(N31&gt;$C$8,"Undervalued","Overvalued")</f>
        <v>Overvalued</v>
      </c>
      <c r="O32" s="12" t="str">
        <f>IF(O31&gt;$C$8,"Undervalued","Overvalued")</f>
        <v>Overvalued</v>
      </c>
    </row>
  </sheetData>
  <mergeCells count="4">
    <mergeCell ref="C4:G4"/>
    <mergeCell ref="I4:K4"/>
    <mergeCell ref="M4:O4"/>
    <mergeCell ref="B2:O2"/>
  </mergeCells>
  <pageMargins left="0.7" right="0.7" top="0.75" bottom="0.75" header="0.3" footer="0.3"/>
  <pageSetup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1E14-20F2-4A39-81D5-DC8C3A2494FF}">
  <dimension ref="B1:Y31"/>
  <sheetViews>
    <sheetView tabSelected="1" zoomScale="85" zoomScaleNormal="85" workbookViewId="0">
      <selection activeCell="N7" sqref="N7"/>
    </sheetView>
  </sheetViews>
  <sheetFormatPr defaultRowHeight="14.4" x14ac:dyDescent="0.3"/>
  <cols>
    <col min="2" max="2" width="5.44140625" bestFit="1" customWidth="1"/>
    <col min="3" max="3" width="16.88671875" bestFit="1" customWidth="1"/>
    <col min="4" max="4" width="8.5546875" bestFit="1" customWidth="1"/>
    <col min="5" max="5" width="15.6640625" bestFit="1" customWidth="1"/>
    <col min="6" max="6" width="10.6640625" bestFit="1" customWidth="1"/>
    <col min="7" max="7" width="10.109375" bestFit="1" customWidth="1"/>
    <col min="8" max="8" width="13.6640625" bestFit="1" customWidth="1"/>
    <col min="9" max="9" width="8.5546875" bestFit="1" customWidth="1"/>
    <col min="10" max="10" width="9.6640625" bestFit="1" customWidth="1"/>
    <col min="11" max="11" width="10.33203125" bestFit="1" customWidth="1"/>
    <col min="12" max="12" width="8.5546875" bestFit="1" customWidth="1"/>
    <col min="13" max="13" width="12.6640625" bestFit="1" customWidth="1"/>
    <col min="16" max="16" width="5.44140625" bestFit="1" customWidth="1"/>
    <col min="17" max="17" width="9.33203125" bestFit="1" customWidth="1"/>
    <col min="18" max="18" width="8.109375" bestFit="1" customWidth="1"/>
    <col min="19" max="19" width="16.44140625" bestFit="1" customWidth="1"/>
    <col min="20" max="20" width="11.77734375" bestFit="1" customWidth="1"/>
    <col min="21" max="21" width="10.5546875" bestFit="1" customWidth="1"/>
    <col min="22" max="22" width="14.6640625" bestFit="1" customWidth="1"/>
    <col min="23" max="23" width="8.44140625" bestFit="1" customWidth="1"/>
    <col min="24" max="24" width="9.33203125" bestFit="1" customWidth="1"/>
    <col min="25" max="25" width="11.21875" bestFit="1" customWidth="1"/>
    <col min="26" max="26" width="7.109375" bestFit="1" customWidth="1"/>
    <col min="27" max="27" width="13.33203125" bestFit="1" customWidth="1"/>
  </cols>
  <sheetData>
    <row r="1" spans="2:25" x14ac:dyDescent="0.3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4</v>
      </c>
      <c r="J1" t="s">
        <v>35</v>
      </c>
      <c r="K1" t="s">
        <v>36</v>
      </c>
      <c r="L1" t="s">
        <v>18</v>
      </c>
      <c r="M1" t="s">
        <v>37</v>
      </c>
    </row>
    <row r="2" spans="2:25" x14ac:dyDescent="0.3">
      <c r="B2">
        <v>1</v>
      </c>
      <c r="C2" t="s">
        <v>38</v>
      </c>
      <c r="D2" s="6">
        <v>1902.4</v>
      </c>
      <c r="E2" s="6">
        <v>239.93</v>
      </c>
      <c r="F2" s="6">
        <f t="shared" ref="F2:F31" si="0">D2*E2</f>
        <v>456442.83200000005</v>
      </c>
      <c r="G2" s="6">
        <v>4627.32</v>
      </c>
      <c r="H2" s="6">
        <v>11603.08</v>
      </c>
      <c r="I2" s="6">
        <f t="shared" ref="I2:I11" si="1">G2-H2</f>
        <v>-6975.76</v>
      </c>
      <c r="J2" s="6">
        <f t="shared" ref="J2:J31" si="2">+F2+G2-H2</f>
        <v>449467.07200000004</v>
      </c>
      <c r="K2" s="6">
        <v>59910.52</v>
      </c>
      <c r="L2" s="6">
        <v>17847.343907999999</v>
      </c>
      <c r="M2" s="6">
        <v>12117.01</v>
      </c>
      <c r="Q2" s="6"/>
      <c r="R2" s="6"/>
      <c r="S2" s="6"/>
      <c r="T2" s="6"/>
      <c r="U2" s="6"/>
      <c r="V2" s="6"/>
      <c r="W2" s="7"/>
      <c r="X2" s="6"/>
      <c r="Y2" s="6"/>
    </row>
    <row r="3" spans="2:25" x14ac:dyDescent="0.3">
      <c r="B3">
        <v>2</v>
      </c>
      <c r="C3" t="s">
        <v>40</v>
      </c>
      <c r="D3" s="6">
        <v>8597</v>
      </c>
      <c r="E3" s="6">
        <v>26.55</v>
      </c>
      <c r="F3" s="6">
        <f t="shared" si="0"/>
        <v>228250.35</v>
      </c>
      <c r="G3" s="6">
        <v>7</v>
      </c>
      <c r="H3" s="6">
        <v>3414</v>
      </c>
      <c r="I3" s="6">
        <f t="shared" si="1"/>
        <v>-3407</v>
      </c>
      <c r="J3" s="6">
        <f t="shared" si="2"/>
        <v>224843.35</v>
      </c>
      <c r="K3" s="6">
        <v>11230</v>
      </c>
      <c r="L3" s="6">
        <v>3967.5590000000002</v>
      </c>
      <c r="M3" s="6">
        <v>2925</v>
      </c>
      <c r="Q3" s="6"/>
      <c r="R3" s="6"/>
      <c r="S3" s="6"/>
      <c r="T3" s="6"/>
      <c r="U3" s="6"/>
      <c r="V3" s="6"/>
      <c r="W3" s="7"/>
      <c r="X3" s="6"/>
      <c r="Y3" s="6"/>
    </row>
    <row r="4" spans="2:25" x14ac:dyDescent="0.3">
      <c r="B4">
        <v>3</v>
      </c>
      <c r="C4" t="s">
        <v>42</v>
      </c>
      <c r="D4" s="6">
        <v>4896.5</v>
      </c>
      <c r="E4" s="6">
        <v>38.04</v>
      </c>
      <c r="F4" s="6">
        <f t="shared" si="0"/>
        <v>186262.86</v>
      </c>
      <c r="G4" s="6">
        <v>15025.5</v>
      </c>
      <c r="H4" s="6">
        <v>1165.2</v>
      </c>
      <c r="I4" s="6">
        <f t="shared" si="1"/>
        <v>13860.3</v>
      </c>
      <c r="J4" s="6">
        <f t="shared" si="2"/>
        <v>200123.15999999997</v>
      </c>
      <c r="K4" s="6">
        <v>15723</v>
      </c>
      <c r="L4" s="6">
        <v>5191.7346000000007</v>
      </c>
      <c r="M4" s="6">
        <v>2156</v>
      </c>
      <c r="Q4" s="6"/>
      <c r="R4" s="6"/>
      <c r="S4" s="6"/>
      <c r="T4" s="6"/>
      <c r="U4" s="6"/>
      <c r="V4" s="6"/>
      <c r="W4" s="7"/>
      <c r="X4" s="6"/>
      <c r="Y4" s="6"/>
    </row>
    <row r="5" spans="2:25" x14ac:dyDescent="0.3">
      <c r="B5">
        <v>4</v>
      </c>
      <c r="C5" t="s">
        <v>41</v>
      </c>
      <c r="D5" s="6">
        <v>1432.2</v>
      </c>
      <c r="E5" s="6">
        <v>80.790000000000006</v>
      </c>
      <c r="F5" s="6">
        <f t="shared" si="0"/>
        <v>115707.43800000001</v>
      </c>
      <c r="G5" s="6">
        <v>613.77</v>
      </c>
      <c r="H5" s="6">
        <v>1307.42</v>
      </c>
      <c r="I5" s="6">
        <f t="shared" si="1"/>
        <v>-693.65000000000009</v>
      </c>
      <c r="J5" s="6">
        <f t="shared" si="2"/>
        <v>115013.78800000002</v>
      </c>
      <c r="K5" s="24">
        <v>28324.400000000001</v>
      </c>
      <c r="L5" s="6">
        <v>5296.6628000000001</v>
      </c>
      <c r="M5" s="6">
        <v>3355.68</v>
      </c>
      <c r="Q5" s="6"/>
      <c r="R5" s="6"/>
      <c r="S5" s="6"/>
      <c r="T5" s="6"/>
      <c r="U5" s="6"/>
      <c r="V5" s="6"/>
      <c r="W5" s="7"/>
      <c r="X5" s="6"/>
      <c r="Y5" s="6"/>
    </row>
    <row r="6" spans="2:25" x14ac:dyDescent="0.3">
      <c r="B6">
        <v>5</v>
      </c>
      <c r="C6" t="s">
        <v>43</v>
      </c>
      <c r="D6" s="6">
        <v>1120</v>
      </c>
      <c r="E6" s="6">
        <v>99.75</v>
      </c>
      <c r="F6" s="6">
        <f t="shared" si="0"/>
        <v>111720</v>
      </c>
      <c r="G6" s="6">
        <v>12496</v>
      </c>
      <c r="H6" s="6">
        <v>1416.6</v>
      </c>
      <c r="I6" s="6">
        <f t="shared" si="1"/>
        <v>11079.4</v>
      </c>
      <c r="J6" s="6">
        <f t="shared" si="2"/>
        <v>122799.4</v>
      </c>
      <c r="K6" s="6">
        <v>28591.7</v>
      </c>
      <c r="L6" s="6">
        <v>8317.3255300000001</v>
      </c>
      <c r="M6" s="6">
        <v>4592.7</v>
      </c>
      <c r="Q6" s="6"/>
      <c r="R6" s="6"/>
      <c r="S6" s="6"/>
      <c r="T6" s="6"/>
      <c r="U6" s="6"/>
      <c r="V6" s="6"/>
      <c r="W6" s="7"/>
      <c r="X6" s="6"/>
      <c r="Y6" s="6"/>
    </row>
    <row r="7" spans="2:25" x14ac:dyDescent="0.3">
      <c r="B7">
        <v>6</v>
      </c>
      <c r="C7" t="s">
        <v>45</v>
      </c>
      <c r="D7" s="6">
        <v>2201.8000000000002</v>
      </c>
      <c r="E7" s="6">
        <v>45.72</v>
      </c>
      <c r="F7" s="6">
        <f t="shared" si="0"/>
        <v>100666.296</v>
      </c>
      <c r="G7" s="6">
        <v>6616.18</v>
      </c>
      <c r="H7" s="6">
        <v>5652.9</v>
      </c>
      <c r="I7" s="6">
        <f t="shared" si="1"/>
        <v>963.28000000000065</v>
      </c>
      <c r="J7" s="6">
        <f t="shared" si="2"/>
        <v>101629.576</v>
      </c>
      <c r="K7" s="6">
        <v>29966.58</v>
      </c>
      <c r="L7" s="6">
        <v>9538.3624139999993</v>
      </c>
      <c r="M7" s="6">
        <v>5550.99</v>
      </c>
      <c r="Q7" s="6"/>
      <c r="R7" s="6"/>
      <c r="S7" s="6"/>
      <c r="T7" s="6"/>
      <c r="U7" s="6"/>
      <c r="V7" s="6"/>
      <c r="W7" s="7"/>
      <c r="X7" s="6"/>
      <c r="Y7" s="6"/>
    </row>
    <row r="8" spans="2:25" x14ac:dyDescent="0.3">
      <c r="B8">
        <v>7</v>
      </c>
      <c r="C8" t="s">
        <v>47</v>
      </c>
      <c r="D8" s="6">
        <v>2384</v>
      </c>
      <c r="E8" s="6">
        <v>41.3</v>
      </c>
      <c r="F8" s="6">
        <f t="shared" si="0"/>
        <v>98459.199999999997</v>
      </c>
      <c r="G8" s="6">
        <v>6311.54</v>
      </c>
      <c r="H8" s="6">
        <v>482.77</v>
      </c>
      <c r="I8" s="6">
        <f t="shared" si="1"/>
        <v>5828.77</v>
      </c>
      <c r="J8" s="6">
        <f t="shared" si="2"/>
        <v>104287.96999999999</v>
      </c>
      <c r="K8" s="6">
        <v>14737.88</v>
      </c>
      <c r="L8" s="6">
        <v>3827.4274359999995</v>
      </c>
      <c r="M8" s="6">
        <v>2067.5700000000002</v>
      </c>
      <c r="Q8" s="6"/>
      <c r="R8" s="6"/>
      <c r="S8" s="6"/>
      <c r="T8" s="6"/>
      <c r="U8" s="6"/>
      <c r="V8" s="6"/>
      <c r="W8" s="7"/>
      <c r="X8" s="6"/>
      <c r="Y8" s="6"/>
    </row>
    <row r="9" spans="2:25" x14ac:dyDescent="0.3">
      <c r="B9">
        <v>8</v>
      </c>
      <c r="C9" t="s">
        <v>39</v>
      </c>
      <c r="D9" s="6">
        <v>1174.7</v>
      </c>
      <c r="E9" s="6">
        <v>83.47</v>
      </c>
      <c r="F9" s="6">
        <f t="shared" si="0"/>
        <v>98052.209000000003</v>
      </c>
      <c r="G9" s="6">
        <v>7734.1</v>
      </c>
      <c r="H9" s="6">
        <v>3348.7</v>
      </c>
      <c r="I9" s="6">
        <f t="shared" si="1"/>
        <v>4385.4000000000005</v>
      </c>
      <c r="J9" s="6">
        <f t="shared" si="2"/>
        <v>102437.60900000001</v>
      </c>
      <c r="K9" s="6">
        <v>33227.9</v>
      </c>
      <c r="L9" s="6">
        <v>5140.3561300000001</v>
      </c>
      <c r="M9" s="6">
        <v>3183.3</v>
      </c>
      <c r="Q9" s="6"/>
      <c r="R9" s="6"/>
      <c r="S9" s="6"/>
      <c r="T9" s="6"/>
      <c r="U9" s="6"/>
      <c r="V9" s="6"/>
      <c r="W9" s="7"/>
      <c r="X9" s="6"/>
      <c r="Y9" s="6"/>
    </row>
    <row r="10" spans="2:25" x14ac:dyDescent="0.3">
      <c r="B10">
        <v>9</v>
      </c>
      <c r="C10" t="s">
        <v>49</v>
      </c>
      <c r="D10" s="6">
        <v>1802</v>
      </c>
      <c r="E10" s="6">
        <v>54.03</v>
      </c>
      <c r="F10" s="6">
        <f t="shared" si="0"/>
        <v>97362.06</v>
      </c>
      <c r="G10" s="6">
        <v>2518.48</v>
      </c>
      <c r="H10" s="6">
        <v>113.7</v>
      </c>
      <c r="I10" s="6">
        <f t="shared" si="1"/>
        <v>2404.7800000000002</v>
      </c>
      <c r="J10" s="6">
        <f t="shared" si="2"/>
        <v>99766.84</v>
      </c>
      <c r="K10" s="6">
        <v>7269.64</v>
      </c>
      <c r="L10" s="6">
        <v>2034.0452720000001</v>
      </c>
      <c r="M10" s="6">
        <v>1090.53</v>
      </c>
      <c r="Q10" s="6"/>
      <c r="R10" s="6"/>
      <c r="S10" s="6"/>
      <c r="T10" s="6"/>
      <c r="U10" s="6"/>
      <c r="V10" s="6"/>
      <c r="W10" s="7"/>
      <c r="X10" s="6"/>
      <c r="Y10" s="6"/>
    </row>
    <row r="11" spans="2:25" x14ac:dyDescent="0.3">
      <c r="B11">
        <v>10</v>
      </c>
      <c r="C11" t="s">
        <v>46</v>
      </c>
      <c r="D11" s="6">
        <v>1621.3</v>
      </c>
      <c r="E11" s="6">
        <v>58.08</v>
      </c>
      <c r="F11" s="6">
        <f t="shared" si="0"/>
        <v>94165.103999999992</v>
      </c>
      <c r="G11" s="6">
        <v>8072.84</v>
      </c>
      <c r="H11" s="6">
        <v>9870.2900000000009</v>
      </c>
      <c r="I11" s="6">
        <f t="shared" si="1"/>
        <v>-1797.4500000000007</v>
      </c>
      <c r="J11" s="6">
        <f t="shared" si="2"/>
        <v>92367.65399999998</v>
      </c>
      <c r="K11" s="6">
        <v>34935.29</v>
      </c>
      <c r="L11" s="6">
        <v>7081.3832830000001</v>
      </c>
      <c r="M11" s="6">
        <v>3710.8</v>
      </c>
      <c r="Q11" s="6"/>
      <c r="R11" s="6"/>
      <c r="S11" s="6"/>
      <c r="T11" s="6"/>
      <c r="U11" s="6"/>
      <c r="V11" s="6"/>
      <c r="W11" s="7"/>
      <c r="X11" s="6"/>
      <c r="Y11" s="6"/>
    </row>
    <row r="12" spans="2:25" x14ac:dyDescent="0.3">
      <c r="B12">
        <v>11</v>
      </c>
      <c r="C12" t="s">
        <v>48</v>
      </c>
      <c r="D12" s="6">
        <v>415.55</v>
      </c>
      <c r="E12" s="6">
        <v>162.97</v>
      </c>
      <c r="F12" s="6">
        <f t="shared" si="0"/>
        <v>67722.183499999999</v>
      </c>
      <c r="G12" s="6">
        <v>15434.1</v>
      </c>
      <c r="H12" s="6">
        <v>3193.6</v>
      </c>
      <c r="I12" s="6">
        <f t="shared" ref="I12:I31" si="3">G12-H12</f>
        <v>12240.5</v>
      </c>
      <c r="J12" s="6">
        <f t="shared" si="2"/>
        <v>79962.683499999999</v>
      </c>
      <c r="K12" s="6">
        <v>17321.099999999999</v>
      </c>
      <c r="L12" s="6">
        <v>3536.9686200000001</v>
      </c>
      <c r="M12" s="6">
        <v>416.4</v>
      </c>
      <c r="Q12" s="6"/>
      <c r="R12" s="6"/>
      <c r="S12" s="6"/>
      <c r="T12" s="6"/>
      <c r="U12" s="6"/>
      <c r="V12" s="6"/>
      <c r="W12" s="7"/>
      <c r="X12" s="6"/>
      <c r="Y12" s="6"/>
    </row>
    <row r="13" spans="2:25" x14ac:dyDescent="0.3">
      <c r="B13">
        <v>12</v>
      </c>
      <c r="C13" t="s">
        <v>51</v>
      </c>
      <c r="D13" s="6">
        <v>2317.9</v>
      </c>
      <c r="E13" s="6">
        <v>28.22</v>
      </c>
      <c r="F13" s="6">
        <f t="shared" si="0"/>
        <v>65411.137999999999</v>
      </c>
      <c r="G13" s="6">
        <v>593.53</v>
      </c>
      <c r="H13" s="6">
        <v>1176.26</v>
      </c>
      <c r="I13" s="6">
        <f t="shared" si="3"/>
        <v>-582.73</v>
      </c>
      <c r="J13" s="6">
        <f t="shared" si="2"/>
        <v>64828.408000000003</v>
      </c>
      <c r="K13" s="6">
        <v>17736.560000000001</v>
      </c>
      <c r="L13" s="6">
        <v>4795.9658239999999</v>
      </c>
      <c r="M13" s="6">
        <v>1797.79</v>
      </c>
      <c r="Q13" s="6"/>
      <c r="R13" s="6"/>
      <c r="S13" s="6"/>
      <c r="T13" s="6"/>
      <c r="U13" s="6"/>
      <c r="V13" s="6"/>
      <c r="W13" s="7"/>
      <c r="X13" s="6"/>
      <c r="Y13" s="6"/>
    </row>
    <row r="14" spans="2:25" x14ac:dyDescent="0.3">
      <c r="B14">
        <v>13</v>
      </c>
      <c r="C14" t="s">
        <v>44</v>
      </c>
      <c r="D14" s="6">
        <v>5400</v>
      </c>
      <c r="E14" s="6">
        <v>11.96</v>
      </c>
      <c r="F14" s="6">
        <f t="shared" si="0"/>
        <v>64584.000000000007</v>
      </c>
      <c r="G14" s="6">
        <v>2047.16</v>
      </c>
      <c r="H14" s="6">
        <v>1732.9</v>
      </c>
      <c r="I14" s="6">
        <f t="shared" si="3"/>
        <v>314.26</v>
      </c>
      <c r="J14" s="6">
        <f t="shared" si="2"/>
        <v>64898.26</v>
      </c>
      <c r="K14" s="6">
        <v>15081.28</v>
      </c>
      <c r="L14" s="6">
        <v>3032.8454080000001</v>
      </c>
      <c r="M14" s="6">
        <v>2204.23</v>
      </c>
      <c r="Q14" s="6"/>
      <c r="R14" s="6"/>
      <c r="S14" s="6"/>
      <c r="T14" s="6"/>
      <c r="U14" s="6"/>
      <c r="V14" s="6"/>
      <c r="W14" s="7"/>
      <c r="X14" s="6"/>
      <c r="Y14" s="6"/>
    </row>
    <row r="15" spans="2:25" x14ac:dyDescent="0.3">
      <c r="B15">
        <v>14</v>
      </c>
      <c r="C15" t="s">
        <v>52</v>
      </c>
      <c r="D15" s="6">
        <v>26230</v>
      </c>
      <c r="E15" s="6">
        <v>2.12</v>
      </c>
      <c r="F15" s="6">
        <f t="shared" si="0"/>
        <v>55607.600000000006</v>
      </c>
      <c r="G15" s="6">
        <v>171.99</v>
      </c>
      <c r="H15" s="6">
        <v>2254.9499999999998</v>
      </c>
      <c r="I15" s="6">
        <f t="shared" si="3"/>
        <v>-2082.96</v>
      </c>
      <c r="J15" s="6">
        <f t="shared" si="2"/>
        <v>53524.640000000007</v>
      </c>
      <c r="K15" s="6">
        <v>7004.38</v>
      </c>
      <c r="L15" s="6">
        <v>1968.9312180000002</v>
      </c>
      <c r="M15" s="6">
        <v>1614.68</v>
      </c>
      <c r="Q15" s="6"/>
      <c r="R15" s="6"/>
      <c r="S15" s="6"/>
      <c r="T15" s="6"/>
      <c r="U15" s="6"/>
      <c r="V15" s="6"/>
      <c r="W15" s="7"/>
      <c r="X15" s="6"/>
      <c r="Y15" s="6"/>
    </row>
    <row r="16" spans="2:25" x14ac:dyDescent="0.3">
      <c r="B16">
        <v>15</v>
      </c>
      <c r="C16" t="s">
        <v>53</v>
      </c>
      <c r="D16" s="6">
        <v>2902.2</v>
      </c>
      <c r="E16" s="6">
        <v>16.940000000000001</v>
      </c>
      <c r="F16" s="6">
        <f t="shared" si="0"/>
        <v>49163.268000000004</v>
      </c>
      <c r="G16" s="6">
        <v>33.270000000000003</v>
      </c>
      <c r="H16" s="6">
        <v>1391.02</v>
      </c>
      <c r="I16" s="6">
        <f t="shared" si="3"/>
        <v>-1357.75</v>
      </c>
      <c r="J16" s="6">
        <f t="shared" si="2"/>
        <v>47805.518000000004</v>
      </c>
      <c r="K16" s="6">
        <v>3954.94</v>
      </c>
      <c r="L16" s="6">
        <v>1353.3804680000001</v>
      </c>
      <c r="M16" s="6">
        <v>1068.1500000000001</v>
      </c>
      <c r="Q16" s="6"/>
      <c r="R16" s="6"/>
      <c r="S16" s="6"/>
      <c r="T16" s="6"/>
      <c r="U16" s="6"/>
      <c r="V16" s="6"/>
      <c r="W16" s="7"/>
      <c r="X16" s="6"/>
      <c r="Y16" s="6"/>
    </row>
    <row r="17" spans="2:25" x14ac:dyDescent="0.3">
      <c r="B17">
        <v>16</v>
      </c>
      <c r="C17" t="s">
        <v>55</v>
      </c>
      <c r="D17" s="6">
        <v>871.45</v>
      </c>
      <c r="E17" s="6">
        <v>56.32</v>
      </c>
      <c r="F17" s="6">
        <f t="shared" si="0"/>
        <v>49080.064000000006</v>
      </c>
      <c r="G17" s="6">
        <v>53.93</v>
      </c>
      <c r="H17" s="6">
        <v>274.88</v>
      </c>
      <c r="I17" s="6">
        <f t="shared" si="3"/>
        <v>-220.95</v>
      </c>
      <c r="J17" s="6">
        <f t="shared" si="2"/>
        <v>48859.114000000009</v>
      </c>
      <c r="K17" s="6">
        <v>2002.34</v>
      </c>
      <c r="L17" s="6">
        <v>792.92664000000002</v>
      </c>
      <c r="M17" s="6">
        <v>575.95000000000005</v>
      </c>
      <c r="Q17" s="6"/>
      <c r="R17" s="6"/>
      <c r="S17" s="6"/>
      <c r="T17" s="6"/>
      <c r="U17" s="6"/>
      <c r="V17" s="6"/>
      <c r="W17" s="7"/>
      <c r="X17" s="6"/>
      <c r="Y17" s="6"/>
    </row>
    <row r="18" spans="2:25" x14ac:dyDescent="0.3">
      <c r="B18">
        <v>17</v>
      </c>
      <c r="C18" t="s">
        <v>50</v>
      </c>
      <c r="D18" s="6">
        <v>1911.2</v>
      </c>
      <c r="E18" s="6">
        <v>25.37</v>
      </c>
      <c r="F18" s="6">
        <f t="shared" si="0"/>
        <v>48487.144</v>
      </c>
      <c r="G18" s="6">
        <v>808.76</v>
      </c>
      <c r="H18" s="6">
        <v>564.59</v>
      </c>
      <c r="I18" s="6">
        <f t="shared" si="3"/>
        <v>244.16999999999996</v>
      </c>
      <c r="J18" s="6">
        <f t="shared" si="2"/>
        <v>48731.314000000006</v>
      </c>
      <c r="K18" s="6">
        <v>10125.58</v>
      </c>
      <c r="L18" s="6">
        <v>2231.6778319999999</v>
      </c>
      <c r="M18" s="6">
        <v>1375.16</v>
      </c>
      <c r="Q18" s="6"/>
      <c r="R18" s="6"/>
      <c r="S18" s="6"/>
      <c r="T18" s="6"/>
      <c r="U18" s="6"/>
      <c r="V18" s="6"/>
      <c r="W18" s="7"/>
      <c r="X18" s="6"/>
      <c r="Y18" s="6"/>
    </row>
    <row r="19" spans="2:25" x14ac:dyDescent="0.3">
      <c r="B19">
        <v>18</v>
      </c>
      <c r="C19" t="s">
        <v>56</v>
      </c>
      <c r="D19" s="6">
        <v>2819.3</v>
      </c>
      <c r="E19" s="6">
        <v>16.5</v>
      </c>
      <c r="F19" s="6">
        <f t="shared" si="0"/>
        <v>46518.450000000004</v>
      </c>
      <c r="G19" s="6">
        <v>283.58999999999997</v>
      </c>
      <c r="H19" s="6">
        <v>3359.11</v>
      </c>
      <c r="I19" s="6">
        <f t="shared" si="3"/>
        <v>-3075.52</v>
      </c>
      <c r="J19" s="6">
        <f t="shared" si="2"/>
        <v>43442.93</v>
      </c>
      <c r="K19" s="6">
        <v>6725.3</v>
      </c>
      <c r="L19" s="6">
        <v>1751.2681199999997</v>
      </c>
      <c r="M19" s="6">
        <v>1128.8</v>
      </c>
      <c r="Q19" s="6"/>
      <c r="R19" s="6"/>
      <c r="S19" s="6"/>
      <c r="T19" s="6"/>
      <c r="U19" s="6"/>
      <c r="V19" s="6"/>
      <c r="W19" s="7"/>
      <c r="X19" s="6"/>
      <c r="Y19" s="6"/>
    </row>
    <row r="20" spans="2:25" x14ac:dyDescent="0.3">
      <c r="B20">
        <v>19</v>
      </c>
      <c r="C20" t="s">
        <v>57</v>
      </c>
      <c r="D20" s="6">
        <v>3639.8</v>
      </c>
      <c r="E20" s="6">
        <v>12.5</v>
      </c>
      <c r="F20" s="6">
        <f t="shared" si="0"/>
        <v>45497.5</v>
      </c>
      <c r="G20" s="6">
        <v>260.17</v>
      </c>
      <c r="H20" s="6">
        <v>104.77</v>
      </c>
      <c r="I20" s="6">
        <f t="shared" si="3"/>
        <v>155.40000000000003</v>
      </c>
      <c r="J20" s="6">
        <f t="shared" si="2"/>
        <v>45652.9</v>
      </c>
      <c r="K20" s="6">
        <v>5776.17</v>
      </c>
      <c r="L20" s="6">
        <v>1467.1471799999999</v>
      </c>
      <c r="M20" s="6">
        <v>1134.8800000000001</v>
      </c>
      <c r="Q20" s="6"/>
      <c r="R20" s="6"/>
      <c r="S20" s="6"/>
      <c r="T20" s="6"/>
      <c r="U20" s="6"/>
      <c r="V20" s="6"/>
      <c r="W20" s="7"/>
      <c r="X20" s="6"/>
      <c r="Y20" s="6"/>
    </row>
    <row r="21" spans="2:25" x14ac:dyDescent="0.3">
      <c r="B21">
        <v>20</v>
      </c>
      <c r="C21" t="s">
        <v>58</v>
      </c>
      <c r="D21" s="6">
        <v>1863</v>
      </c>
      <c r="E21" s="6">
        <v>18.97</v>
      </c>
      <c r="F21" s="6">
        <f t="shared" si="0"/>
        <v>35341.11</v>
      </c>
      <c r="G21" s="6">
        <v>1557.99</v>
      </c>
      <c r="H21" s="6">
        <v>147.52000000000001</v>
      </c>
      <c r="I21" s="6">
        <f t="shared" si="3"/>
        <v>1410.47</v>
      </c>
      <c r="J21" s="6">
        <f t="shared" si="2"/>
        <v>36751.58</v>
      </c>
      <c r="K21" s="6">
        <v>9683.4500000000007</v>
      </c>
      <c r="L21" s="6">
        <v>1980.265525</v>
      </c>
      <c r="M21" s="6">
        <v>1018.96</v>
      </c>
      <c r="Q21" s="6"/>
      <c r="R21" s="6"/>
      <c r="S21" s="6"/>
      <c r="T21" s="6"/>
      <c r="U21" s="6"/>
      <c r="V21" s="6"/>
      <c r="W21" s="7"/>
      <c r="X21" s="6"/>
      <c r="Y21" s="6"/>
    </row>
    <row r="22" spans="2:25" x14ac:dyDescent="0.3">
      <c r="B22">
        <v>21</v>
      </c>
      <c r="C22" t="s">
        <v>59</v>
      </c>
      <c r="D22" s="6">
        <v>1457.4</v>
      </c>
      <c r="E22" s="6">
        <v>21.23</v>
      </c>
      <c r="F22" s="6">
        <f t="shared" si="0"/>
        <v>30940.602000000003</v>
      </c>
      <c r="G22" s="6">
        <v>288.45</v>
      </c>
      <c r="H22" s="6">
        <v>110.87</v>
      </c>
      <c r="I22" s="6">
        <f t="shared" si="3"/>
        <v>177.57999999999998</v>
      </c>
      <c r="J22" s="6">
        <f t="shared" si="2"/>
        <v>31118.182000000004</v>
      </c>
      <c r="K22" s="6">
        <v>2250.36</v>
      </c>
      <c r="L22" s="6">
        <v>658.23029999999994</v>
      </c>
      <c r="M22" s="6">
        <v>361.75</v>
      </c>
      <c r="Q22" s="6"/>
      <c r="R22" s="6"/>
      <c r="S22" s="6"/>
      <c r="T22" s="6"/>
      <c r="U22" s="6"/>
      <c r="V22" s="6"/>
      <c r="W22" s="7"/>
      <c r="X22" s="6"/>
      <c r="Y22" s="6"/>
    </row>
    <row r="23" spans="2:25" x14ac:dyDescent="0.3">
      <c r="B23">
        <v>22</v>
      </c>
      <c r="C23" t="s">
        <v>60</v>
      </c>
      <c r="D23" s="6">
        <v>1886.3</v>
      </c>
      <c r="E23" s="6">
        <v>16.25</v>
      </c>
      <c r="F23" s="6">
        <f t="shared" si="0"/>
        <v>30652.375</v>
      </c>
      <c r="G23" s="6">
        <v>2233</v>
      </c>
      <c r="H23" s="6">
        <v>250</v>
      </c>
      <c r="I23" s="6">
        <f t="shared" si="3"/>
        <v>1983</v>
      </c>
      <c r="J23" s="6">
        <f t="shared" si="2"/>
        <v>32635.375</v>
      </c>
      <c r="K23" s="6">
        <v>3564</v>
      </c>
      <c r="L23" s="6">
        <v>771.9624</v>
      </c>
      <c r="M23" s="6">
        <v>414</v>
      </c>
      <c r="Q23" s="6"/>
      <c r="R23" s="6"/>
      <c r="S23" s="6"/>
      <c r="T23" s="6"/>
      <c r="U23" s="6"/>
      <c r="V23" s="6"/>
      <c r="W23" s="7"/>
      <c r="X23" s="6"/>
      <c r="Y23" s="6"/>
    </row>
    <row r="24" spans="2:25" x14ac:dyDescent="0.3">
      <c r="B24">
        <v>23</v>
      </c>
      <c r="C24" t="s">
        <v>61</v>
      </c>
      <c r="D24" s="6">
        <v>23301</v>
      </c>
      <c r="E24" s="6">
        <v>1.28</v>
      </c>
      <c r="F24" s="6">
        <f t="shared" si="0"/>
        <v>29825.279999999999</v>
      </c>
      <c r="G24" s="6">
        <v>301.27</v>
      </c>
      <c r="H24" s="6">
        <v>354.96</v>
      </c>
      <c r="I24" s="6">
        <f t="shared" si="3"/>
        <v>-53.69</v>
      </c>
      <c r="J24" s="6">
        <f t="shared" si="2"/>
        <v>29771.59</v>
      </c>
      <c r="K24" s="6">
        <v>2371.81</v>
      </c>
      <c r="L24" s="6">
        <v>763.01127700000006</v>
      </c>
      <c r="M24" s="6">
        <v>497.76</v>
      </c>
      <c r="Q24" s="6"/>
      <c r="R24" s="6"/>
      <c r="S24" s="6"/>
      <c r="T24" s="6"/>
      <c r="U24" s="6"/>
      <c r="V24" s="6"/>
      <c r="W24" s="7"/>
      <c r="X24" s="6"/>
      <c r="Y24" s="6"/>
    </row>
    <row r="25" spans="2:25" x14ac:dyDescent="0.3">
      <c r="B25">
        <v>24</v>
      </c>
      <c r="C25" t="s">
        <v>62</v>
      </c>
      <c r="D25" s="6">
        <v>1724.7</v>
      </c>
      <c r="E25" s="6">
        <v>16.55</v>
      </c>
      <c r="F25" s="6">
        <f t="shared" si="0"/>
        <v>28543.785000000003</v>
      </c>
      <c r="G25" s="6">
        <v>311.01</v>
      </c>
      <c r="H25" s="6">
        <v>346.02</v>
      </c>
      <c r="I25" s="6">
        <f t="shared" si="3"/>
        <v>-35.009999999999991</v>
      </c>
      <c r="J25" s="6">
        <f t="shared" si="2"/>
        <v>28508.775000000001</v>
      </c>
      <c r="K25" s="6">
        <v>1935.81</v>
      </c>
      <c r="L25" s="6">
        <v>450.26940600000006</v>
      </c>
      <c r="M25" s="6">
        <v>288.22000000000003</v>
      </c>
      <c r="Q25" s="6"/>
      <c r="R25" s="6"/>
      <c r="S25" s="6"/>
      <c r="T25" s="6"/>
      <c r="U25" s="6"/>
      <c r="V25" s="6"/>
      <c r="W25" s="7"/>
      <c r="X25" s="6"/>
      <c r="Y25" s="6"/>
    </row>
    <row r="26" spans="2:25" x14ac:dyDescent="0.3">
      <c r="B26">
        <v>25</v>
      </c>
      <c r="C26" t="s">
        <v>54</v>
      </c>
      <c r="D26" s="6">
        <v>213.67</v>
      </c>
      <c r="E26" s="6">
        <v>133.13</v>
      </c>
      <c r="F26" s="6">
        <f t="shared" si="0"/>
        <v>28445.887099999996</v>
      </c>
      <c r="G26" s="6">
        <v>5674.59</v>
      </c>
      <c r="H26" s="6">
        <v>1223.6400000000001</v>
      </c>
      <c r="I26" s="6">
        <f t="shared" si="3"/>
        <v>4450.95</v>
      </c>
      <c r="J26" s="6">
        <f t="shared" si="2"/>
        <v>32896.837099999997</v>
      </c>
      <c r="K26" s="6">
        <v>9205.2800000000007</v>
      </c>
      <c r="L26" s="6">
        <v>1009.8192160000001</v>
      </c>
      <c r="M26" s="6">
        <v>-313.63</v>
      </c>
      <c r="Q26" s="6"/>
      <c r="R26" s="6"/>
      <c r="S26" s="6"/>
      <c r="T26" s="6"/>
      <c r="U26" s="6"/>
      <c r="V26" s="6"/>
      <c r="W26" s="7"/>
      <c r="X26" s="6"/>
      <c r="Y26" s="6"/>
    </row>
    <row r="27" spans="2:25" x14ac:dyDescent="0.3">
      <c r="B27">
        <v>26</v>
      </c>
      <c r="C27" t="s">
        <v>63</v>
      </c>
      <c r="D27" s="6">
        <v>3169</v>
      </c>
      <c r="E27" s="6">
        <v>8.19</v>
      </c>
      <c r="F27" s="6">
        <f t="shared" si="0"/>
        <v>25954.109999999997</v>
      </c>
      <c r="G27" s="6">
        <v>35.6</v>
      </c>
      <c r="H27" s="6">
        <v>224.83</v>
      </c>
      <c r="I27" s="6">
        <f t="shared" si="3"/>
        <v>-189.23000000000002</v>
      </c>
      <c r="J27" s="6">
        <f t="shared" si="2"/>
        <v>25764.879999999994</v>
      </c>
      <c r="K27" s="6">
        <v>1461.8</v>
      </c>
      <c r="L27" s="6">
        <v>542.62015999999994</v>
      </c>
      <c r="M27" s="6">
        <v>387.35</v>
      </c>
      <c r="Q27" s="6"/>
      <c r="R27" s="6"/>
      <c r="S27" s="6"/>
      <c r="T27" s="6"/>
      <c r="U27" s="6"/>
      <c r="V27" s="6"/>
      <c r="W27" s="7"/>
      <c r="X27" s="6"/>
      <c r="Y27" s="6"/>
    </row>
    <row r="28" spans="2:25" x14ac:dyDescent="0.3">
      <c r="B28">
        <v>27</v>
      </c>
      <c r="C28" t="s">
        <v>64</v>
      </c>
      <c r="D28" s="6">
        <v>4978.2</v>
      </c>
      <c r="E28" s="6">
        <v>4.57</v>
      </c>
      <c r="F28" s="6">
        <f t="shared" si="0"/>
        <v>22750.374</v>
      </c>
      <c r="G28" s="6">
        <v>70.23</v>
      </c>
      <c r="H28" s="6">
        <v>3110.76</v>
      </c>
      <c r="I28" s="6">
        <f t="shared" si="3"/>
        <v>-3040.53</v>
      </c>
      <c r="J28" s="6">
        <f t="shared" si="2"/>
        <v>19709.843999999997</v>
      </c>
      <c r="K28" s="6">
        <v>2569.77</v>
      </c>
      <c r="L28" s="6">
        <v>941.56372799999997</v>
      </c>
      <c r="M28" s="6">
        <v>735.15</v>
      </c>
      <c r="Q28" s="6"/>
      <c r="R28" s="6"/>
      <c r="S28" s="6"/>
      <c r="T28" s="6"/>
      <c r="U28" s="6"/>
      <c r="V28" s="6"/>
      <c r="W28" s="7"/>
      <c r="X28" s="6"/>
      <c r="Y28" s="6"/>
    </row>
    <row r="29" spans="2:25" x14ac:dyDescent="0.3">
      <c r="B29">
        <v>28</v>
      </c>
      <c r="C29" t="s">
        <v>65</v>
      </c>
      <c r="D29" s="6">
        <v>858.15</v>
      </c>
      <c r="E29" s="6">
        <v>24.78</v>
      </c>
      <c r="F29" s="6">
        <f t="shared" si="0"/>
        <v>21264.957000000002</v>
      </c>
      <c r="G29" s="6">
        <v>1512.04</v>
      </c>
      <c r="H29" s="6">
        <v>949.06</v>
      </c>
      <c r="I29" s="6">
        <f t="shared" si="3"/>
        <v>562.98</v>
      </c>
      <c r="J29" s="6">
        <f t="shared" si="2"/>
        <v>21827.937000000002</v>
      </c>
      <c r="K29" s="6">
        <v>5632.3</v>
      </c>
      <c r="L29" s="6">
        <v>1277.4056399999999</v>
      </c>
      <c r="M29" s="6">
        <v>662.35</v>
      </c>
      <c r="Q29" s="6"/>
      <c r="R29" s="6"/>
      <c r="S29" s="6"/>
      <c r="T29" s="6"/>
      <c r="U29" s="6"/>
      <c r="V29" s="6"/>
      <c r="W29" s="7"/>
      <c r="X29" s="6"/>
      <c r="Y29" s="6"/>
    </row>
    <row r="30" spans="2:25" x14ac:dyDescent="0.3">
      <c r="B30">
        <v>29</v>
      </c>
      <c r="C30" t="s">
        <v>66</v>
      </c>
      <c r="D30" s="6">
        <v>2560.8000000000002</v>
      </c>
      <c r="E30" s="6">
        <v>7.6</v>
      </c>
      <c r="F30" s="6">
        <f t="shared" si="0"/>
        <v>19462.080000000002</v>
      </c>
      <c r="G30" s="6">
        <v>4.6100000000000003</v>
      </c>
      <c r="H30" s="6">
        <v>621.04</v>
      </c>
      <c r="I30" s="6">
        <f t="shared" si="3"/>
        <v>-616.42999999999995</v>
      </c>
      <c r="J30" s="6">
        <f t="shared" si="2"/>
        <v>18845.650000000001</v>
      </c>
      <c r="K30" s="6">
        <v>2287.33</v>
      </c>
      <c r="L30" s="6">
        <v>796.448306</v>
      </c>
      <c r="M30" s="6">
        <v>678.06</v>
      </c>
      <c r="Q30" s="6"/>
      <c r="R30" s="6"/>
      <c r="S30" s="6"/>
      <c r="T30" s="6"/>
      <c r="U30" s="6"/>
      <c r="V30" s="6"/>
      <c r="W30" s="7"/>
      <c r="X30" s="6"/>
      <c r="Y30" s="6"/>
    </row>
    <row r="31" spans="2:25" x14ac:dyDescent="0.3">
      <c r="B31">
        <v>30</v>
      </c>
      <c r="C31" t="s">
        <v>67</v>
      </c>
      <c r="D31" s="6">
        <v>7415.5</v>
      </c>
      <c r="E31" s="6">
        <v>2.5</v>
      </c>
      <c r="F31" s="6">
        <f t="shared" si="0"/>
        <v>18538.75</v>
      </c>
      <c r="G31" s="6">
        <v>110.66</v>
      </c>
      <c r="H31" s="6">
        <v>448.62</v>
      </c>
      <c r="I31" s="6">
        <f t="shared" si="3"/>
        <v>-337.96000000000004</v>
      </c>
      <c r="J31" s="6">
        <f t="shared" si="2"/>
        <v>18200.79</v>
      </c>
      <c r="K31" s="6">
        <v>2432.06</v>
      </c>
      <c r="L31" s="6">
        <v>229.82966999999996</v>
      </c>
      <c r="M31" s="6">
        <v>169.62</v>
      </c>
      <c r="Q31" s="6"/>
      <c r="R31" s="6"/>
      <c r="S31" s="6"/>
      <c r="T31" s="6"/>
      <c r="U31" s="6"/>
      <c r="V31" s="6"/>
      <c r="W31" s="7"/>
      <c r="X31" s="6"/>
      <c r="Y3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Relative Valuation</vt:lpstr>
      <vt:lpstr>Raw Data -screener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LIG3</dc:creator>
  <cp:lastModifiedBy>LIG3</cp:lastModifiedBy>
  <cp:lastPrinted>2026-08-22T14:39:30Z</cp:lastPrinted>
  <dcterms:created xsi:type="dcterms:W3CDTF">2026-08-22T11:10:45Z</dcterms:created>
  <dcterms:modified xsi:type="dcterms:W3CDTF">2026-08-24T11:33:54Z</dcterms:modified>
</cp:coreProperties>
</file>